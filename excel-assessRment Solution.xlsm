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d\Downloads\Data Files\"/>
    </mc:Choice>
  </mc:AlternateContent>
  <xr:revisionPtr revIDLastSave="0" documentId="8_{34441FFB-AC48-428D-B66A-A2B67B5ED465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D27" i="20"/>
  <c r="C28" i="20"/>
  <c r="C29" i="20"/>
  <c r="C30" i="20"/>
  <c r="C31" i="20"/>
  <c r="C32" i="20"/>
  <c r="C33" i="20"/>
  <c r="C34" i="20"/>
  <c r="C24" i="20"/>
  <c r="C25" i="20"/>
  <c r="C26" i="20"/>
  <c r="C27" i="20"/>
  <c r="G24" i="20"/>
  <c r="D24" i="20"/>
  <c r="D26" i="20"/>
  <c r="D25" i="20"/>
  <c r="F24" i="20"/>
  <c r="D23" i="20"/>
  <c r="C6" i="19"/>
  <c r="C21" i="19"/>
  <c r="C19" i="19"/>
  <c r="C15" i="19"/>
  <c r="C13" i="19"/>
  <c r="C22" i="19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28" i="18" s="1"/>
  <c r="E6" i="18"/>
  <c r="E29" i="18" s="1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9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9" i="18" s="1"/>
  <c r="C5" i="15"/>
  <c r="G42" i="1"/>
  <c r="F29" i="18" l="1"/>
  <c r="B30" i="18"/>
  <c r="C30" i="18"/>
  <c r="B28" i="18"/>
  <c r="D30" i="18"/>
  <c r="C28" i="18"/>
  <c r="E30" i="18"/>
  <c r="D28" i="18"/>
  <c r="F30" i="18"/>
  <c r="E28" i="18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<sst xmlns="http://schemas.openxmlformats.org/spreadsheetml/2006/main" count="406" uniqueCount="183">
  <si>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</si>
  <si>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</si>
  <si>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</si>
  <si>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</si>
  <si>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</si>
  <si>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</si>
  <si>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</si>
  <si>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</si>
  <si>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</si>
  <si>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</si>
  <si>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</si>
  <si>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</si>
  <si>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</si>
  <si>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</si>
  <si>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</si>
  <si>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</si>
  <si>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</si>
  <si>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</si>
  <si>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</si>
  <si>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</si>
  <si>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</si>
  <si>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</si>
  <si>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</si>
  <si>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</si>
  <si>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</si>
  <si>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</si>
  <si>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</si>
  <si>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</si>
  <si>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</si>
  <si>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</si>
  <si>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</si>
  <si>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</si>
  <si>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</si>
  <si>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</si>
  <si>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</si>
  <si>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</si>
  <si>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</si>
  <si>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</si>
  <si>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</si>
  <si>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</si>
  <si>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</si>
  <si>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</si>
  <si>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</si>
  <si>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</si>
  <si>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</si>
  <si>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</si>
  <si>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</si>
  <si>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</si>
  <si>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</si>
  <si>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</si>
  <si>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</si>
  <si>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</si>
  <si>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</si>
  <si>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</si>
  <si>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</si>
  <si>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</si>
  <si>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</si>
  <si>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</si>
  <si>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</si>
  <si>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</si>
  <si>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</si>
  <si>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</si>
  <si>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</si>
  <si>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</si>
  <si>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</si>
  <si>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</si>
  <si>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</si>
  <si>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</si>
  <si>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</si>
  <si>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</si>
  <si>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</si>
  <si>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</si>
  <si>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</si>
  <si>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</si>
  <si>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</si>
  <si>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</si>
  <si>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</si>
  <si>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</si>
  <si>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</si>
  <si>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</si>
  <si>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</si>
  <si>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</si>
  <si>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</si>
  <si>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</si>
  <si>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</si>
  <si>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</si>
  <si>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</si>
  <si>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</si>
  <si>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</si>
  <si>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</si>
  <si>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</si>
  <si>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</si>
  <si>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</si>
  <si>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</si>
  <si>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</si>
  <si>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</si>
  <si>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</si>
  <si>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</si>
  <si>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</si>
  <si>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</si>
  <si>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</si>
  <si>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</si>
  <si>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</si>
  <si>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</si>
  <si>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</si>
  <si>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</si>
  <si>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</si>
  <si>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</si>
  <si>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</si>
  <si>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</si>
  <si>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</si>
  <si>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</si>
  <si>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</si>
  <si>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</si>
  <si>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</si>
  <si>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</si>
  <si>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</si>
  <si>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</si>
  <si>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</si>
  <si>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</si>
  <si>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</si>
  <si>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</si>
  <si>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</si>
  <si>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</si>
  <si>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</si>
  <si>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</si>
  <si>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</si>
  <si>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</si>
  <si>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</si>
  <si>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</si>
  <si>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</si>
  <si>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</si>
  <si>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</si>
  <si>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</si>
  <si>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</si>
  <si>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</si>
  <si>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</si>
  <si>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</si>
  <si>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</si>
  <si>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</si>
  <si>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</si>
  <si>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</si>
  <si>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</si>
  <si>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</si>
  <si>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</si>
  <si>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</si>
  <si>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</si>
  <si>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</si>
  <si>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</si>
  <si>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</si>
  <si>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</si>
  <si>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</si>
  <si>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</si>
  <si>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</si>
  <si>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</si>
  <si>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</si>
  <si>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</si>
  <si>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</si>
  <si>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</si>
  <si>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</si>
  <si>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</si>
  <si>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</si>
  <si>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</si>
  <si>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</si>
  <si>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</si>
  <si>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</si>
  <si>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</si>
  <si>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</si>
  <si>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</si>
  <si>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</si>
  <si>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</si>
  <si>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</si>
  <si>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</si>
  <si>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</si>
  <si>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</si>
  <si>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</si>
  <si>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</si>
  <si>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&gt;16 TH ROW &gt; CTRL+SHIFT+DOWN ARROW &gt; DATA &gt; TEXT TO COLUMN &gt; DELIMETER &gt;OHER?&gt; "-"&gt; NEXT &gt;FINISH</t>
  </si>
  <si>
    <t>VALUES ARE SEPARATED BY SPACE SO I TEXT TO COLUM OPTION TO SEPARATE BY "-"</t>
  </si>
  <si>
    <t>IFERROR(C2:C11, 20): This part of the formula uses the IFERROR function to replace any #N/A values in the Sales column (C2:C11) with the value '20'.</t>
  </si>
  <si>
    <t>SUM(IFERROR(C2:C11, 20)): This part sums up all the values in the modified Sales column.</t>
  </si>
  <si>
    <t>IFERROR(C2:C11, 20)</t>
  </si>
  <si>
    <t>manual 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</si>
</sst>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yyyy/mm/dd;@"/>
    <numFmt numFmtId="172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3" xfId="0" applyFont="1" applyBorder="1" applyAlignment="1">
      <alignment wrapText="1"/>
    </xf>
    <xf numFmtId="172" fontId="3" fillId="5" borderId="1" xfId="0" applyNumberFormat="1" applyFont="1" applyFill="1" applyBorder="1"/>
    <xf numFmtId="0" fontId="8" fillId="6" borderId="1" xfId="0" applyFont="1" applyFill="1" applyBorder="1"/>
    <xf numFmtId="0" fontId="8" fillId="0" borderId="1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1" sqref="A1:B21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="80" zoomScaleNormal="80" workbookViewId="0">
      <pane ySplit="1" topLeftCell="A2" activePane="bottomLeft" state="frozen"/>
      <selection pane="bottomLeft" activeCell="AB26" sqref="AB26"/>
    </sheetView>
  </sheetViews>
  <sheetFormatPr defaultColWidth="9" defaultRowHeight="14.4" x14ac:dyDescent="0.3"/>
  <cols>
    <col min="1" max="1" width="16.6640625" style="1" bestFit="1" customWidth="1"/>
    <col min="2" max="2" width="6" style="1" bestFit="1" customWidth="1"/>
    <col min="3" max="3" width="11.109375" style="1" bestFit="1" customWidth="1"/>
    <col min="4" max="4" width="11.77734375" style="23" bestFit="1" customWidth="1"/>
    <col min="5" max="5" width="10.5546875" style="1" bestFit="1" customWidth="1"/>
    <col min="6" max="6" width="11.21875" style="23" bestFit="1" customWidth="1"/>
    <col min="7" max="9" width="6.77734375" style="1" bestFit="1" customWidth="1"/>
    <col min="10" max="12" width="8.77734375" style="1" bestFit="1" customWidth="1"/>
    <col min="13" max="15" width="7.21875" style="1" bestFit="1" customWidth="1"/>
    <col min="16" max="18" width="5.88671875" style="1" bestFit="1" customWidth="1"/>
    <col min="19" max="20" width="8.5546875" style="1" bestFit="1" customWidth="1"/>
    <col min="21" max="23" width="7.21875" style="1" bestFit="1" customWidth="1"/>
    <col min="24" max="24" width="10.33203125" style="44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">
      <c r="G42" s="1">
        <f>SUMIFS(H2:H40, H2:H40, "&gt;20")</f>
        <v>1473.0000000000002</v>
      </c>
    </row>
  </sheetData>
  <autoFilter ref="A1:X40" xr:uid="{00000000-0001-0000-0000-000000000000}"/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S13">
    <cfRule type="cellIs" dxfId="2" priority="3" operator="equal">
      <formula>-1</formula>
    </cfRule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A7" sqref="A2:E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SUMIFS(Dataset!$H$2:$H$40,Dataset!$H$2:$H$40,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8" zoomScaleNormal="88" workbookViewId="0">
      <selection activeCell="I20" sqref="I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VLOOKUP(A6,Dataset!$A1:$X40,7,FALSE)</f>
        <v>2.7</v>
      </c>
      <c r="C6" s="12">
        <f>VLOOKUP(A6,Dataset!$A$1:$X$40,14,FALSE)</f>
        <v>7.6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4.4" x14ac:dyDescent="0.3">
      <c r="A7" s="7" t="s">
        <v>4</v>
      </c>
      <c r="B7" s="12">
        <f>VLOOKUP(A7,Dataset!$A2:$X41,7,FALSE)</f>
        <v>2.7</v>
      </c>
      <c r="C7" s="12">
        <f>VLOOKUP(A7,Dataset!$A$1:$X$40,14,FALSE)</f>
        <v>7.6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4.4" x14ac:dyDescent="0.3">
      <c r="A8" s="7" t="s">
        <v>7</v>
      </c>
      <c r="B8" s="12">
        <f>VLOOKUP(A8,Dataset!$A3:$X42,7,FALSE)</f>
        <v>3.6</v>
      </c>
      <c r="C8" s="12">
        <f>VLOOKUP(A8,Dataset!$A$1:$X$40,14,FALSE)</f>
        <v>11.1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4.4" x14ac:dyDescent="0.3">
      <c r="A9" s="7" t="s">
        <v>8</v>
      </c>
      <c r="B9" s="12">
        <f>VLOOKUP(A9,Dataset!$A4:$X43,7,FALSE)</f>
        <v>4.9000000000000004</v>
      </c>
      <c r="C9" s="12">
        <f>VLOOKUP(A9,Dataset!$A$1:$X$40,14,FALSE)</f>
        <v>13.3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4.4" x14ac:dyDescent="0.3">
      <c r="A10" s="7" t="s">
        <v>11</v>
      </c>
      <c r="B10" s="12">
        <f>VLOOKUP(A10,Dataset!$A5:$X44,7,FALSE)</f>
        <v>9.4</v>
      </c>
      <c r="C10" s="12">
        <f>VLOOKUP(A10,Dataset!$A$1:$X$40,14,FALSE)</f>
        <v>28.3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4.4" x14ac:dyDescent="0.3">
      <c r="A11" s="7" t="s">
        <v>12</v>
      </c>
      <c r="B11" s="12">
        <f>VLOOKUP(A11,Dataset!$A6:$X45,7,FALSE)</f>
        <v>11.6</v>
      </c>
      <c r="C11" s="12">
        <f>VLOOKUP(A11,Dataset!$A$1:$X$40,14,FALSE)</f>
        <v>35.200000000000003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4.4" x14ac:dyDescent="0.3">
      <c r="A12" s="7" t="s">
        <v>14</v>
      </c>
      <c r="B12" s="12">
        <f>VLOOKUP(A12,Dataset!$A7:$X46,7,FALSE)</f>
        <v>18.399999999999999</v>
      </c>
      <c r="C12" s="12">
        <f>VLOOKUP(A12,Dataset!$A$1:$X$40,14,FALSE)</f>
        <v>55.6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4.4" x14ac:dyDescent="0.3">
      <c r="A13" s="7" t="s">
        <v>15</v>
      </c>
      <c r="B13" s="12">
        <f>VLOOKUP(A13,Dataset!$A8:$X47,7,FALSE)</f>
        <v>0</v>
      </c>
      <c r="C13" s="12">
        <f>VLOOKUP(A13,Dataset!$A$1:$X$40,14,FALSE)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4.4" x14ac:dyDescent="0.3">
      <c r="A14" s="7" t="s">
        <v>16</v>
      </c>
      <c r="B14" s="12">
        <f>VLOOKUP(A14,Dataset!$A9:$X48,7,FALSE)</f>
        <v>21.9</v>
      </c>
      <c r="C14" s="12">
        <f>VLOOKUP(A14,Dataset!$A$1:$X$40,14,FALSE)</f>
        <v>61.5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4.4" x14ac:dyDescent="0.3">
      <c r="A15" s="7" t="s">
        <v>18</v>
      </c>
      <c r="B15" s="12">
        <f>VLOOKUP(A15,Dataset!$A10:$X49,7,FALSE)</f>
        <v>26.8</v>
      </c>
      <c r="C15" s="12">
        <f>VLOOKUP(A15,Dataset!$A$1:$X$40,14,FALSE)</f>
        <v>79.599999999999994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4.4" x14ac:dyDescent="0.3">
      <c r="A16" s="7" t="s">
        <v>20</v>
      </c>
      <c r="B16" s="12">
        <f>VLOOKUP(A16,Dataset!$A11:$X50,7,FALSE)</f>
        <v>28.5</v>
      </c>
      <c r="C16" s="12">
        <f>VLOOKUP(A16,Dataset!$A$1:$X$40,14,FALSE)</f>
        <v>85.4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4.4" x14ac:dyDescent="0.3">
      <c r="A17" s="7" t="s">
        <v>22</v>
      </c>
      <c r="B17" s="12">
        <f>VLOOKUP(A17,Dataset!$A12:$X51,7,FALSE)</f>
        <v>30.7</v>
      </c>
      <c r="C17" s="12">
        <f>VLOOKUP(A17,Dataset!$A$1:$X$40,14,FALSE)</f>
        <v>92.1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4.4" x14ac:dyDescent="0.3">
      <c r="A18" s="7" t="s">
        <v>23</v>
      </c>
      <c r="B18" s="12">
        <f>VLOOKUP(A18,Dataset!$A13:$X52,7,FALSE)</f>
        <v>33.799999999999997</v>
      </c>
      <c r="C18" s="12">
        <f>VLOOKUP(A18,Dataset!$A$1:$X$40,14,FALSE)</f>
        <v>101.3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4.4" x14ac:dyDescent="0.3">
      <c r="A19" s="7" t="s">
        <v>24</v>
      </c>
      <c r="B19" s="12">
        <f>VLOOKUP(A19,Dataset!$A14:$X53,7,FALSE)</f>
        <v>34.700000000000003</v>
      </c>
      <c r="C19" s="12">
        <f>VLOOKUP(A19,Dataset!$A$1:$X$40,14,FALSE)</f>
        <v>106.1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4.4" x14ac:dyDescent="0.3">
      <c r="A20" s="7" t="s">
        <v>28</v>
      </c>
      <c r="B20" s="12">
        <f>VLOOKUP(A20,Dataset!$A15:$X54,7,FALSE)</f>
        <v>0</v>
      </c>
      <c r="C20" s="12">
        <f>VLOOKUP(A20,Dataset!$A$1:$X$40,14,FALSE)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4.4" x14ac:dyDescent="0.3">
      <c r="A21" s="7" t="s">
        <v>57</v>
      </c>
      <c r="B21" s="12">
        <f>VLOOKUP(A21,Dataset!$A16:$X55,7,FALSE)</f>
        <v>41.3</v>
      </c>
      <c r="C21" s="12">
        <f>VLOOKUP(A21,Dataset!$A$1:$X$40,14,FALSE)</f>
        <v>124.4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4.4" x14ac:dyDescent="0.3">
      <c r="A22" s="7" t="s">
        <v>58</v>
      </c>
      <c r="B22" s="12">
        <f>VLOOKUP(A22,Dataset!$A17:$X56,7,FALSE)</f>
        <v>-1</v>
      </c>
      <c r="C22" s="12">
        <f>VLOOKUP(A22,Dataset!$A$1:$X$40,14,FALSE)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4.4" x14ac:dyDescent="0.3">
      <c r="A23" s="7" t="s">
        <v>31</v>
      </c>
      <c r="B23" s="12">
        <f>VLOOKUP(A23,Dataset!$A18:$X57,7,FALSE)</f>
        <v>45</v>
      </c>
      <c r="C23" s="12">
        <f>VLOOKUP(A23,Dataset!$A$1:$X$40,14,FALSE)</f>
        <v>133.4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4.4" x14ac:dyDescent="0.3">
      <c r="A24" s="7" t="s">
        <v>32</v>
      </c>
      <c r="B24" s="12">
        <f>VLOOKUP(A24,Dataset!$A19:$X58,7,FALSE)</f>
        <v>-1</v>
      </c>
      <c r="C24" s="12">
        <f>VLOOKUP(A24,Dataset!$A$1:$X$40,14,FALSE)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4.4" x14ac:dyDescent="0.3">
      <c r="A25" s="7" t="s">
        <v>34</v>
      </c>
      <c r="B25" s="12">
        <f>VLOOKUP(A25,Dataset!$A20:$X59,7,FALSE)</f>
        <v>43.3</v>
      </c>
      <c r="C25" s="12">
        <f>VLOOKUP(A25,Dataset!$A$1:$X$40,14,FALSE)</f>
        <v>128.6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4.4" x14ac:dyDescent="0.3">
      <c r="A26" s="7" t="s">
        <v>37</v>
      </c>
      <c r="B26" s="12">
        <f>VLOOKUP(A26,Dataset!$A21:$X60,7,FALSE)</f>
        <v>49.1</v>
      </c>
      <c r="C26" s="12">
        <f>VLOOKUP(A26,Dataset!$A$1:$X$40,14,FALSE)</f>
        <v>146.80000000000001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4.4" x14ac:dyDescent="0.3">
      <c r="A27" s="7" t="s">
        <v>39</v>
      </c>
      <c r="B27" s="12">
        <f>VLOOKUP(A27,Dataset!$A22:$X61,7,FALSE)</f>
        <v>51.8</v>
      </c>
      <c r="C27" s="12">
        <f>VLOOKUP(A27,Dataset!$A$1:$X$40,14,FALSE)</f>
        <v>156.4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46">
        <f>AVERAGE(B6:B27)</f>
        <v>20.827272727272728</v>
      </c>
      <c r="C30" s="46">
        <f>AVERAGE(C6:C27)</f>
        <v>62.377272727272725</v>
      </c>
      <c r="D30" s="30">
        <f>AVERAGE(D6:D27)</f>
        <v>37.800000000000004</v>
      </c>
      <c r="E30" s="46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80" zoomScaleNormal="80" workbookViewId="0">
      <selection activeCell="D23" sqref="D2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153</v>
      </c>
      <c r="B6" s="39" t="s">
        <v>178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181</v>
      </c>
      <c r="C6" s="2">
        <f>SUM(D12:D15, "20")</f>
        <v>20</v>
      </c>
    </row>
    <row r="7" spans="1:3" ht="14.4" x14ac:dyDescent="0.3">
      <c r="A7" s="3" t="s">
        <v>153</v>
      </c>
      <c r="B7" s="1" t="s">
        <v>179</v>
      </c>
    </row>
    <row r="8" spans="1:3" x14ac:dyDescent="0.3">
      <c r="B8" s="2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f>SUM(IFERROR(C2:C11, 20))</f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f>SUM(IFERROR(C4:C13, 20))</f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>
        <f>SUM(IFERROR(C8:C17, 20))</f>
        <v>20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>
        <f>SUM(IFERROR(C10:C19, 20))</f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0" zoomScaleNormal="8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36.6640625" style="2" customWidth="1"/>
    <col min="4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47">
        <v>-1</v>
      </c>
      <c r="C10" s="47">
        <v>95</v>
      </c>
      <c r="D10" s="47">
        <v>-1</v>
      </c>
      <c r="E10" s="47">
        <v>185</v>
      </c>
      <c r="F10" s="47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4" x14ac:dyDescent="0.3">
      <c r="A11" s="25" t="s">
        <v>90</v>
      </c>
      <c r="B11" s="47">
        <v>95</v>
      </c>
      <c r="C11" s="47">
        <v>-1</v>
      </c>
      <c r="D11" s="47">
        <v>-1</v>
      </c>
      <c r="E11" s="47">
        <v>90</v>
      </c>
      <c r="F11" s="47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4" x14ac:dyDescent="0.3">
      <c r="A12" s="25" t="s">
        <v>91</v>
      </c>
      <c r="B12" s="47">
        <v>-1</v>
      </c>
      <c r="C12" s="47">
        <v>-1</v>
      </c>
      <c r="D12" s="47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4" x14ac:dyDescent="0.3">
      <c r="A13" s="25" t="s">
        <v>92</v>
      </c>
      <c r="B13" s="47">
        <v>185</v>
      </c>
      <c r="C13" s="47">
        <v>90</v>
      </c>
      <c r="D13" s="47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4" x14ac:dyDescent="0.45">
      <c r="A21" s="17" t="s">
        <v>168</v>
      </c>
    </row>
    <row r="22" spans="1:14" ht="14.4" x14ac:dyDescent="0.3">
      <c r="A22" s="16" t="s">
        <v>100</v>
      </c>
      <c r="B22" s="16" t="s">
        <v>101</v>
      </c>
      <c r="C22" s="16" t="s">
        <v>102</v>
      </c>
      <c r="D22" s="2" t="s">
        <v>182</v>
      </c>
    </row>
    <row r="23" spans="1:14" ht="14.4" x14ac:dyDescent="0.3">
      <c r="A23" s="16">
        <v>10100</v>
      </c>
      <c r="B23" s="16">
        <v>10104</v>
      </c>
      <c r="C23" s="48">
        <f>SUM(INDEX($B$10:$J$18,MATCH(VLOOKUP(A23,$M$10:$N$18,2,FALSE),$A$10:$A$18,0),MATCH(VLOOKUP(A23,$M$10:$N$18,2,FALSE),$B$9:$J$9,0)):INDEX($B$10:$J$18,MATCH(VLOOKUP(B23,$M$10:$N$18,2,FALSE),$A$10:$A$18,0),MATCH(VLOOKUP(B23,$M$10:$N$18,2,FALSE),$B$9:$J$9,0)))</f>
        <v>183</v>
      </c>
      <c r="D23" s="2">
        <f>SUM(B10:D12)</f>
        <v>183</v>
      </c>
    </row>
    <row r="24" spans="1:14" ht="14.4" x14ac:dyDescent="0.3">
      <c r="A24" s="16">
        <v>10108</v>
      </c>
      <c r="B24" s="16">
        <v>10102</v>
      </c>
      <c r="C24" s="48">
        <f>SUM(INDEX($B$10:$J$18,MATCH(VLOOKUP(A24,$M$10:$N$18,2,FALSE),$A$10:$A$18,0),MATCH(VLOOKUP(A24,$M$10:$N$18,2,FALSE),$B$9:$J$9,0)):INDEX($B$10:$J$18,MATCH(VLOOKUP(B24,$M$10:$N$18,2,FALSE),$A$10:$A$18,0),MATCH(VLOOKUP(B24,$M$10:$N$18,2,FALSE),$B$9:$J$9,0)))</f>
        <v>1014</v>
      </c>
      <c r="D24" s="2">
        <f>SUM(C11:F14)</f>
        <v>1014</v>
      </c>
      <c r="F24" s="2">
        <f>MATCH(A24,M10:M18,0)</f>
        <v>5</v>
      </c>
      <c r="G24" s="2">
        <f>MATCH(VLOOKUP(A23,M10:N18,2,FALSE),B9:J9,0)</f>
        <v>1</v>
      </c>
    </row>
    <row r="25" spans="1:14" ht="14.4" x14ac:dyDescent="0.3">
      <c r="A25" s="16">
        <v>10100</v>
      </c>
      <c r="B25" s="16">
        <v>10106</v>
      </c>
      <c r="C25" s="48">
        <f>SUM(INDEX($B$10:$J$18,MATCH(VLOOKUP(A25,$M$10:$N$18,2,FALSE),$A$10:$A$18,0),MATCH(VLOOKUP(A25,$M$10:$N$18,2,FALSE),$B$9:$J$9,0)):INDEX($B$10:$J$18,MATCH(VLOOKUP(B25,$M$10:$N$18,2,FALSE),$A$10:$A$18,0),MATCH(VLOOKUP(B25,$M$10:$N$18,2,FALSE),$B$9:$J$9,0)))</f>
        <v>852</v>
      </c>
      <c r="D25" s="2">
        <f>SUM(B10:E13)</f>
        <v>852</v>
      </c>
    </row>
    <row r="26" spans="1:14" ht="14.4" x14ac:dyDescent="0.3">
      <c r="A26" s="16">
        <v>10108</v>
      </c>
      <c r="B26" s="16">
        <v>10110</v>
      </c>
      <c r="C26" s="48">
        <f>SUM(INDEX($B$10:$J$18,MATCH(VLOOKUP(A26,$M$10:$N$18,2,FALSE),$A$10:$A$18,0),MATCH(VLOOKUP(A26,$M$10:$N$18,2,FALSE),$B$9:$J$9,0)):INDEX($B$10:$J$18,MATCH(VLOOKUP(B26,$M$10:$N$18,2,FALSE),$A$10:$A$18,0),MATCH(VLOOKUP(B26,$M$10:$N$18,2,FALSE),$B$9:$J$9,0)))</f>
        <v>98</v>
      </c>
      <c r="D26" s="2">
        <f>SUM(F14:G15)</f>
        <v>98</v>
      </c>
    </row>
    <row r="27" spans="1:14" ht="14.4" x14ac:dyDescent="0.3">
      <c r="A27" s="16">
        <v>10102</v>
      </c>
      <c r="B27" s="16">
        <v>10104</v>
      </c>
      <c r="C27" s="48">
        <f>SUM(INDEX($B$10:$J$18,MATCH(VLOOKUP(A27,$M$10:$N$18,2,FALSE),$A$10:$A$18,0),MATCH(VLOOKUP(A27,$M$10:$N$18,2,FALSE),$B$9:$J$9,0)):INDEX($B$10:$J$18,MATCH(VLOOKUP(B27,$M$10:$N$18,2,FALSE),$A$10:$A$18,0),MATCH(VLOOKUP(B27,$M$10:$N$18,2,FALSE),$B$9:$J$9,0)))</f>
        <v>-4</v>
      </c>
      <c r="D27" s="2">
        <f>SUM(C11:D13)</f>
        <v>146</v>
      </c>
    </row>
    <row r="28" spans="1:14" ht="14.4" x14ac:dyDescent="0.3">
      <c r="A28" s="16">
        <v>10106</v>
      </c>
      <c r="B28" s="16">
        <v>10108</v>
      </c>
      <c r="C28" s="48">
        <f>SUM(INDEX($B$10:$J$18,MATCH(VLOOKUP(A28,$M$10:$N$18,2,FALSE),$A$10:$A$18,0),MATCH(VLOOKUP(A28,$M$10:$N$18,2,FALSE),$B$9:$J$9,0)):INDEX($B$10:$J$18,MATCH(VLOOKUP(B28,$M$10:$N$18,2,FALSE),$A$10:$A$18,0),MATCH(VLOOKUP(B28,$M$10:$N$18,2,FALSE),$B$9:$J$9,0)))</f>
        <v>138</v>
      </c>
    </row>
    <row r="29" spans="1:14" ht="14.4" x14ac:dyDescent="0.3">
      <c r="A29" s="16">
        <v>10102</v>
      </c>
      <c r="B29" s="16">
        <v>10106</v>
      </c>
      <c r="C29" s="48">
        <f>SUM(INDEX($B$10:$J$18,MATCH(VLOOKUP(A29,$M$10:$N$18,2,FALSE),$A$10:$A$18,0),MATCH(VLOOKUP(A29,$M$10:$N$18,2,FALSE),$B$9:$J$9,0)):INDEX($B$10:$J$18,MATCH(VLOOKUP(B29,$M$10:$N$18,2,FALSE),$A$10:$A$18,0),MATCH(VLOOKUP(B29,$M$10:$N$18,2,FALSE),$B$9:$J$9,0)))</f>
        <v>295</v>
      </c>
    </row>
    <row r="30" spans="1:14" ht="14.4" x14ac:dyDescent="0.3">
      <c r="A30" s="16">
        <v>10110</v>
      </c>
      <c r="B30" s="16">
        <v>10114</v>
      </c>
      <c r="C30" s="48">
        <f>SUM(INDEX($B$10:$J$18,MATCH(VLOOKUP(A30,$M$10:$N$18,2,FALSE),$A$10:$A$18,0),MATCH(VLOOKUP(A30,$M$10:$N$18,2,FALSE),$B$9:$J$9,0)):INDEX($B$10:$J$18,MATCH(VLOOKUP(B30,$M$10:$N$18,2,FALSE),$A$10:$A$18,0),MATCH(VLOOKUP(B30,$M$10:$N$18,2,FALSE),$B$9:$J$9,0)))</f>
        <v>717</v>
      </c>
    </row>
    <row r="31" spans="1:14" ht="14.4" x14ac:dyDescent="0.3">
      <c r="A31" s="16">
        <v>10104</v>
      </c>
      <c r="B31" s="16">
        <v>10106</v>
      </c>
      <c r="C31" s="48">
        <f>SUM(INDEX($B$10:$J$18,MATCH(VLOOKUP(A31,$M$10:$N$18,2,FALSE),$A$10:$A$18,0),MATCH(VLOOKUP(A31,$M$10:$N$18,2,FALSE),$B$9:$J$9,0)):INDEX($B$10:$J$18,MATCH(VLOOKUP(B31,$M$10:$N$18,2,FALSE),$A$10:$A$18,0),MATCH(VLOOKUP(B31,$M$10:$N$18,2,FALSE),$B$9:$J$9,0)))</f>
        <v>118</v>
      </c>
    </row>
    <row r="32" spans="1:14" ht="14.4" x14ac:dyDescent="0.3">
      <c r="A32" s="16">
        <v>10110</v>
      </c>
      <c r="B32" s="16">
        <v>10112</v>
      </c>
      <c r="C32" s="48">
        <f>SUM(INDEX($B$10:$J$18,MATCH(VLOOKUP(A32,$M$10:$N$18,2,FALSE),$A$10:$A$18,0),MATCH(VLOOKUP(A32,$M$10:$N$18,2,FALSE),$B$9:$J$9,0)):INDEX($B$10:$J$18,MATCH(VLOOKUP(B32,$M$10:$N$18,2,FALSE),$A$10:$A$18,0),MATCH(VLOOKUP(B32,$M$10:$N$18,2,FALSE),$B$9:$J$9,0)))</f>
        <v>228</v>
      </c>
    </row>
    <row r="33" spans="1:3" ht="14.4" x14ac:dyDescent="0.3">
      <c r="A33" s="16">
        <v>10100</v>
      </c>
      <c r="B33" s="16">
        <v>10114</v>
      </c>
      <c r="C33" s="48">
        <f>SUM(INDEX($B$10:$J$18,MATCH(VLOOKUP(A33,$M$10:$N$18,2,FALSE),$A$10:$A$18,0),MATCH(VLOOKUP(A33,$M$10:$N$18,2,FALSE),$B$9:$J$9,0)):INDEX($B$10:$J$18,MATCH(VLOOKUP(B33,$M$10:$N$18,2,FALSE),$A$10:$A$18,0),MATCH(VLOOKUP(B33,$M$10:$N$18,2,FALSE),$B$9:$J$9,0)))</f>
        <v>10908</v>
      </c>
    </row>
    <row r="34" spans="1:3" ht="14.4" x14ac:dyDescent="0.3">
      <c r="A34" s="16">
        <v>10112</v>
      </c>
      <c r="B34" s="16">
        <v>10116</v>
      </c>
      <c r="C34" s="48">
        <f>SUM(INDEX($B$10:$J$18,MATCH(VLOOKUP(A34,$M$10:$N$18,2,FALSE),$A$10:$A$18,0),MATCH(VLOOKUP(A34,$M$10:$N$18,2,FALSE),$B$9:$J$9,0)):INDEX($B$10:$J$18,MATCH(VLOOKUP(B34,$M$10:$N$18,2,FALSE),$A$10:$A$18,0),MATCH(VLOOKUP(B34,$M$10:$N$18,2,FALSE),$B$9:$J$9,0)))</f>
        <v>417</v>
      </c>
    </row>
    <row r="35" spans="1:3" x14ac:dyDescent="0.3"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 Hemanth</cp:lastModifiedBy>
  <dcterms:created xsi:type="dcterms:W3CDTF">2015-02-10T17:33:11Z</dcterms:created>
  <dcterms:modified xsi:type="dcterms:W3CDTF">2025-06-27T03:59:08Z</dcterms:modified>
</cp:coreProperties>
</file>